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clo365-my.sharepoint.com/personal/debadatta_mohanty_hcltech_com/Documents/Desktop/WorkArea/BIS-Academy/Snowflake/UseCase/UseCase/UseCase/"/>
    </mc:Choice>
  </mc:AlternateContent>
  <xr:revisionPtr revIDLastSave="10" documentId="8_{9BDE2536-7CE5-4019-93E6-A2F551297FAB}" xr6:coauthVersionLast="47" xr6:coauthVersionMax="47" xr10:uidLastSave="{812B600A-1F2A-4442-BAB0-5508E4E12CCD}"/>
  <bookViews>
    <workbookView xWindow="-110" yWindow="-110" windowWidth="19420" windowHeight="10300" xr2:uid="{AC46455B-C56C-4E13-AE93-BE03FEBD12CB}"/>
  </bookViews>
  <sheets>
    <sheet name="Central Data" sheetId="1" r:id="rId1"/>
    <sheet name="Generic Late Fees Valu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3" l="1"/>
  <c r="D6" i="3"/>
  <c r="C6" i="3"/>
  <c r="B6" i="3"/>
  <c r="O4" i="1"/>
  <c r="O5" i="1"/>
  <c r="O6" i="1"/>
  <c r="O7" i="1"/>
  <c r="N4" i="1"/>
  <c r="N5" i="1"/>
  <c r="N6" i="1"/>
  <c r="N7" i="1"/>
  <c r="M4" i="1"/>
  <c r="M5" i="1"/>
  <c r="M6" i="1"/>
  <c r="M7" i="1"/>
  <c r="L4" i="1"/>
  <c r="L5" i="1"/>
  <c r="L6" i="1"/>
  <c r="L7" i="1"/>
  <c r="L3" i="1"/>
  <c r="M3" i="1" s="1"/>
  <c r="N3" i="1" s="1"/>
  <c r="O3" i="1" s="1"/>
</calcChain>
</file>

<file path=xl/sharedStrings.xml><?xml version="1.0" encoding="utf-8"?>
<sst xmlns="http://schemas.openxmlformats.org/spreadsheetml/2006/main" count="42" uniqueCount="39">
  <si>
    <t>Customer ID</t>
  </si>
  <si>
    <t>Customer Name</t>
  </si>
  <si>
    <t>Policy_Id</t>
  </si>
  <si>
    <t>Policy_Name</t>
  </si>
  <si>
    <t>Premium_Amt</t>
  </si>
  <si>
    <t>Policy_Term</t>
  </si>
  <si>
    <t>Policy_Start_Dt</t>
  </si>
  <si>
    <t>Policy_End_Dt</t>
  </si>
  <si>
    <t>Next_Premium_Dt</t>
  </si>
  <si>
    <t>Actual_Premium_Paid_Dt</t>
  </si>
  <si>
    <t>Aaron Dillon</t>
  </si>
  <si>
    <t>19182_697</t>
  </si>
  <si>
    <t>HSB_WholeLife_22468</t>
  </si>
  <si>
    <t>Half Yearly</t>
  </si>
  <si>
    <t>Late_Fees</t>
  </si>
  <si>
    <t>Duration between Actual to Premium</t>
  </si>
  <si>
    <t>Percentage Late Fees</t>
  </si>
  <si>
    <t>Actual Premium Amt to be paid</t>
  </si>
  <si>
    <t>Adam G Sawyer</t>
  </si>
  <si>
    <t>19183_674</t>
  </si>
  <si>
    <t>HSB_Endowment_19183</t>
  </si>
  <si>
    <t>Quarterly</t>
  </si>
  <si>
    <t>Albert Frost</t>
  </si>
  <si>
    <t>19184_188</t>
  </si>
  <si>
    <t>HSB_Moneyback_19184</t>
  </si>
  <si>
    <t>Alex Harrell</t>
  </si>
  <si>
    <t>19185_3106</t>
  </si>
  <si>
    <t>HSB_ChildPlan_19185</t>
  </si>
  <si>
    <t>Alexander O'Brien</t>
  </si>
  <si>
    <t>19186_597</t>
  </si>
  <si>
    <t>HSB_UnitLinked_19186</t>
  </si>
  <si>
    <t>Late Payment Calculation</t>
  </si>
  <si>
    <t>Months Delayed</t>
  </si>
  <si>
    <r>
      <t xml:space="preserve">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>Late Fees</t>
    </r>
  </si>
  <si>
    <t>Central at 6%</t>
  </si>
  <si>
    <t>East at 7.50%</t>
  </si>
  <si>
    <t>West at 9.50%</t>
  </si>
  <si>
    <t>South at 3%</t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</si>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</sst>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top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3F03-BFBD-486E-8919-B0DB9BACF17E}">
  <dimension ref="A1:O7"/>
  <sheetViews>
    <sheetView tabSelected="1" workbookViewId="0">
      <selection activeCell="B15" sqref="B15"/>
    </sheetView>
  </sheetViews>
  <sheetFormatPr defaultRowHeight="14.5" x14ac:dyDescent="0.35"/>
  <cols>
    <col min="1" max="1" width="11.1796875" bestFit="1" customWidth="1"/>
    <col min="2" max="2" width="14.36328125" bestFit="1" customWidth="1"/>
    <col min="3" max="3" width="10.81640625" bestFit="1" customWidth="1"/>
    <col min="4" max="4" width="21.453125" bestFit="1" customWidth="1"/>
    <col min="5" max="5" width="12.90625" bestFit="1" customWidth="1"/>
    <col min="6" max="6" width="10.90625" bestFit="1" customWidth="1"/>
    <col min="7" max="7" width="13.453125" bestFit="1" customWidth="1"/>
    <col min="8" max="8" width="12.6328125" bestFit="1" customWidth="1"/>
    <col min="9" max="9" width="16.1796875" bestFit="1" customWidth="1"/>
    <col min="10" max="10" width="22.26953125" bestFit="1" customWidth="1"/>
    <col min="12" max="12" width="32.1796875" bestFit="1" customWidth="1"/>
    <col min="13" max="13" width="18.26953125" bestFit="1" customWidth="1"/>
    <col min="15" max="15" width="27.08984375" bestFit="1" customWidth="1"/>
  </cols>
  <sheetData>
    <row r="1" spans="1:15" x14ac:dyDescent="0.35">
      <c r="L1" s="6" t="s">
        <v>31</v>
      </c>
      <c r="M1" s="6"/>
      <c r="N1" s="6"/>
      <c r="O1" s="6"/>
    </row>
    <row r="2" spans="1:1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s="2" t="s">
        <v>15</v>
      </c>
      <c r="M2" s="2" t="s">
        <v>16</v>
      </c>
      <c r="N2" s="2" t="s">
        <v>14</v>
      </c>
      <c r="O2" s="2" t="s">
        <v>17</v>
      </c>
    </row>
    <row r="3" spans="1:15" x14ac:dyDescent="0.35">
      <c r="A3">
        <v>1354</v>
      </c>
      <c r="B3" t="s">
        <v>10</v>
      </c>
      <c r="C3" t="s">
        <v>11</v>
      </c>
      <c r="D3" t="s">
        <v>12</v>
      </c>
      <c r="E3">
        <v>60000</v>
      </c>
      <c r="F3" t="s">
        <v>13</v>
      </c>
      <c r="G3" s="1">
        <v>40909</v>
      </c>
      <c r="H3" s="1">
        <v>77433</v>
      </c>
      <c r="I3" s="1">
        <v>40998</v>
      </c>
      <c r="J3" s="1">
        <v>41176</v>
      </c>
      <c r="L3" s="2">
        <f>DATEDIF(I3,J3,"M")</f>
        <v>5</v>
      </c>
      <c r="M3" s="2">
        <f>L3*0.005</f>
        <v>2.5000000000000001E-2</v>
      </c>
      <c r="N3" s="2">
        <f>E3*M3</f>
        <v>1500</v>
      </c>
      <c r="O3" s="2">
        <f>E3+N3</f>
        <v>61500</v>
      </c>
    </row>
    <row r="4" spans="1:15" x14ac:dyDescent="0.35">
      <c r="A4">
        <v>697</v>
      </c>
      <c r="B4" t="s">
        <v>18</v>
      </c>
      <c r="C4" t="s">
        <v>19</v>
      </c>
      <c r="D4" t="s">
        <v>20</v>
      </c>
      <c r="E4">
        <v>5000</v>
      </c>
      <c r="F4" t="s">
        <v>21</v>
      </c>
      <c r="G4" s="1">
        <v>41275</v>
      </c>
      <c r="H4" s="1">
        <v>77433</v>
      </c>
      <c r="I4" s="1">
        <v>41456</v>
      </c>
      <c r="J4" s="1">
        <v>41640</v>
      </c>
      <c r="L4" s="2">
        <f t="shared" ref="L4:L7" si="0">DATEDIF(I4,J4,"M")</f>
        <v>6</v>
      </c>
      <c r="M4" s="2">
        <f t="shared" ref="M4:M7" si="1">L4*0.005</f>
        <v>0.03</v>
      </c>
      <c r="N4" s="2">
        <f t="shared" ref="N4:N7" si="2">E4*M4</f>
        <v>150</v>
      </c>
      <c r="O4" s="2">
        <f t="shared" ref="O4:O7" si="3">E4+N4</f>
        <v>5150</v>
      </c>
    </row>
    <row r="5" spans="1:15" x14ac:dyDescent="0.35">
      <c r="A5">
        <v>674</v>
      </c>
      <c r="B5" t="s">
        <v>22</v>
      </c>
      <c r="C5" t="s">
        <v>23</v>
      </c>
      <c r="D5" t="s">
        <v>24</v>
      </c>
      <c r="E5">
        <v>5000</v>
      </c>
      <c r="F5" t="s">
        <v>21</v>
      </c>
      <c r="G5" s="1">
        <v>41640</v>
      </c>
      <c r="H5" s="1">
        <v>50036</v>
      </c>
      <c r="I5" s="1">
        <v>41729</v>
      </c>
      <c r="J5" s="1">
        <v>41907</v>
      </c>
      <c r="L5" s="2">
        <f t="shared" si="0"/>
        <v>5</v>
      </c>
      <c r="M5" s="2">
        <f t="shared" si="1"/>
        <v>2.5000000000000001E-2</v>
      </c>
      <c r="N5" s="2">
        <f t="shared" si="2"/>
        <v>125</v>
      </c>
      <c r="O5" s="2">
        <f t="shared" si="3"/>
        <v>5125</v>
      </c>
    </row>
    <row r="6" spans="1:15" x14ac:dyDescent="0.35">
      <c r="A6">
        <v>188</v>
      </c>
      <c r="B6" t="s">
        <v>25</v>
      </c>
      <c r="C6" t="s">
        <v>26</v>
      </c>
      <c r="D6" t="s">
        <v>27</v>
      </c>
      <c r="E6">
        <v>5000</v>
      </c>
      <c r="F6" t="s">
        <v>21</v>
      </c>
      <c r="G6" s="1">
        <v>42005</v>
      </c>
      <c r="H6" s="1">
        <v>49670</v>
      </c>
      <c r="I6" s="1">
        <v>42094</v>
      </c>
      <c r="J6" s="1">
        <v>42272</v>
      </c>
      <c r="L6" s="2">
        <f t="shared" si="0"/>
        <v>5</v>
      </c>
      <c r="M6" s="2">
        <f t="shared" si="1"/>
        <v>2.5000000000000001E-2</v>
      </c>
      <c r="N6" s="2">
        <f t="shared" si="2"/>
        <v>125</v>
      </c>
      <c r="O6" s="2">
        <f t="shared" si="3"/>
        <v>5125</v>
      </c>
    </row>
    <row r="7" spans="1:15" x14ac:dyDescent="0.35">
      <c r="A7">
        <v>3106</v>
      </c>
      <c r="B7" t="s">
        <v>28</v>
      </c>
      <c r="C7" t="s">
        <v>29</v>
      </c>
      <c r="D7" t="s">
        <v>30</v>
      </c>
      <c r="E7">
        <v>5000</v>
      </c>
      <c r="F7" t="s">
        <v>21</v>
      </c>
      <c r="G7" s="1">
        <v>40909</v>
      </c>
      <c r="H7" s="1">
        <v>50401</v>
      </c>
      <c r="I7" s="1">
        <v>40998</v>
      </c>
      <c r="J7" s="1">
        <v>41176</v>
      </c>
      <c r="L7" s="2">
        <f t="shared" si="0"/>
        <v>5</v>
      </c>
      <c r="M7" s="2">
        <f t="shared" si="1"/>
        <v>2.5000000000000001E-2</v>
      </c>
      <c r="N7" s="2">
        <f t="shared" si="2"/>
        <v>125</v>
      </c>
      <c r="O7" s="2">
        <f t="shared" si="3"/>
        <v>5125</v>
      </c>
    </row>
  </sheetData>
  <mergeCells count="1">
    <mergeCell ref="L1:O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8819-57ED-4850-8929-239794F65251}">
  <dimension ref="A1:E6"/>
  <sheetViews>
    <sheetView workbookViewId="0">
      <selection activeCell="D11" sqref="D11"/>
    </sheetView>
  </sheetViews>
  <sheetFormatPr defaultRowHeight="14.5" x14ac:dyDescent="0.35"/>
  <cols>
    <col min="1" max="1" width="14.6328125" bestFit="1" customWidth="1"/>
    <col min="2" max="2" width="6.81640625" bestFit="1" customWidth="1"/>
    <col min="3" max="3" width="7.36328125" bestFit="1" customWidth="1"/>
    <col min="4" max="4" width="11.36328125" bestFit="1" customWidth="1"/>
    <col min="5" max="5" width="7.7265625" bestFit="1" customWidth="1"/>
  </cols>
  <sheetData>
    <row r="1" spans="1:5" x14ac:dyDescent="0.35">
      <c r="A1" s="7" t="s">
        <v>32</v>
      </c>
      <c r="B1" s="10" t="s">
        <v>33</v>
      </c>
      <c r="C1" s="11"/>
      <c r="D1" s="11"/>
      <c r="E1" s="12"/>
    </row>
    <row r="2" spans="1:5" ht="15" thickBot="1" x14ac:dyDescent="0.4">
      <c r="A2" s="8"/>
      <c r="B2" s="13"/>
      <c r="C2" s="14"/>
      <c r="D2" s="14"/>
      <c r="E2" s="15"/>
    </row>
    <row r="3" spans="1:5" ht="29.5" thickBot="1" x14ac:dyDescent="0.4">
      <c r="A3" s="9"/>
      <c r="B3" s="3" t="s">
        <v>34</v>
      </c>
      <c r="C3" s="3" t="s">
        <v>35</v>
      </c>
      <c r="D3" s="3" t="s">
        <v>36</v>
      </c>
      <c r="E3" s="3" t="s">
        <v>37</v>
      </c>
    </row>
    <row r="4" spans="1:5" ht="17" thickBot="1" x14ac:dyDescent="0.4">
      <c r="A4" s="4" t="s">
        <v>38</v>
      </c>
      <c r="B4" s="3">
        <v>5.0000000000000001E-3</v>
      </c>
      <c r="C4" s="3">
        <v>6.2500000000000003E-3</v>
      </c>
      <c r="D4" s="3">
        <v>7.92E-3</v>
      </c>
      <c r="E4" s="3">
        <v>2.5000000000000001E-3</v>
      </c>
    </row>
    <row r="5" spans="1:5" x14ac:dyDescent="0.35">
      <c r="A5" s="5"/>
      <c r="B5" s="5"/>
      <c r="C5" s="5"/>
      <c r="D5" s="5"/>
      <c r="E5" s="5"/>
    </row>
    <row r="6" spans="1:5" x14ac:dyDescent="0.35">
      <c r="A6" s="5"/>
      <c r="B6" s="5">
        <f>(6/100)/12</f>
        <v>5.0000000000000001E-3</v>
      </c>
      <c r="C6" s="5">
        <f>(7.5/100)/12</f>
        <v>6.2499999999999995E-3</v>
      </c>
      <c r="D6" s="5">
        <f>(9.5/100)/12</f>
        <v>7.9166666666666673E-3</v>
      </c>
      <c r="E6" s="5">
        <f>(3/100)/12</f>
        <v>2.5000000000000001E-3</v>
      </c>
    </row>
  </sheetData>
  <mergeCells count="2">
    <mergeCell ref="A1:A3"/>
    <mergeCell ref="B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B8882F5F7DC34B9CCE488995DBE482" ma:contentTypeVersion="3" ma:contentTypeDescription="Create a new document." ma:contentTypeScope="" ma:versionID="f8cf5924cef83e87186851fe5a57cae2">
  <xsd:schema xmlns:xsd="http://www.w3.org/2001/XMLSchema" xmlns:xs="http://www.w3.org/2001/XMLSchema" xmlns:p="http://schemas.microsoft.com/office/2006/metadata/properties" xmlns:ns2="636a1e4b-a9a1-45c8-918d-de3cdbb65e66" targetNamespace="http://schemas.microsoft.com/office/2006/metadata/properties" ma:root="true" ma:fieldsID="07cd608b5b3926d1843cbff390522704" ns2:_="">
    <xsd:import namespace="636a1e4b-a9a1-45c8-918d-de3cdbb65e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a1e4b-a9a1-45c8-918d-de3cdbb65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BF0D84-3552-43F1-BC55-CBD0555A20C4}"/>
</file>

<file path=customXml/itemProps2.xml><?xml version="1.0" encoding="utf-8"?>
<ds:datastoreItem xmlns:ds="http://schemas.openxmlformats.org/officeDocument/2006/customXml" ds:itemID="{57895E11-58C7-40B7-9F02-757F7418985C}"/>
</file>

<file path=customXml/itemProps3.xml><?xml version="1.0" encoding="utf-8"?>
<ds:datastoreItem xmlns:ds="http://schemas.openxmlformats.org/officeDocument/2006/customXml" ds:itemID="{ECF349BD-CCC5-4809-A565-91E07CEA1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Data</vt:lpstr>
      <vt:lpstr>Generic Late Fees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Debadatta Mohanty</dc:creator>
  <cp:keywords>HCLClassification=Internal</cp:keywords>
  <cp:lastModifiedBy>Debadatta Mohanty</cp:lastModifiedBy>
  <dcterms:created xsi:type="dcterms:W3CDTF">2022-09-07T14:51:43Z</dcterms:created>
  <dcterms:modified xsi:type="dcterms:W3CDTF">2024-08-02T11:35:08Z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28079a54-10c8-4608-a5ee-eb3bdecab005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  <property fmtid="{D5CDD505-2E9C-101B-9397-08002B2CF9AE}" pid="5" name="ContentTypeId">
    <vt:lpwstr>0x01010029B8882F5F7DC34B9CCE488995DBE482</vt:lpwstr>
  </property>
</Properties>
</file>